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train\"/>
    </mc:Choice>
  </mc:AlternateContent>
  <xr:revisionPtr revIDLastSave="0" documentId="13_ncr:1_{3A354049-0B34-44D8-94EB-3BBB86D72EFB}" xr6:coauthVersionLast="47" xr6:coauthVersionMax="47" xr10:uidLastSave="{00000000-0000-0000-0000-000000000000}"/>
  <bookViews>
    <workbookView xWindow="-120" yWindow="-120" windowWidth="29040" windowHeight="15720" xr2:uid="{DB1B81CA-1920-4795-99E6-1853E1943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2" i="1"/>
  <c r="K34" i="1"/>
  <c r="K35" i="1"/>
  <c r="K36" i="1"/>
  <c r="K37" i="1"/>
  <c r="K38" i="1"/>
  <c r="K39" i="1"/>
  <c r="K40" i="1"/>
  <c r="K41" i="1"/>
  <c r="K42" i="1"/>
  <c r="K43" i="1"/>
  <c r="K33" i="1"/>
  <c r="G33" i="1"/>
  <c r="H33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K4" i="1"/>
  <c r="K5" i="1"/>
  <c r="K6" i="1"/>
  <c r="K7" i="1"/>
  <c r="K8" i="1"/>
  <c r="K9" i="1"/>
  <c r="K10" i="1"/>
  <c r="K2" i="1"/>
  <c r="H22" i="1"/>
  <c r="G22" i="1"/>
  <c r="H11" i="1"/>
  <c r="G11" i="1"/>
  <c r="H2" i="1"/>
  <c r="G2" i="1"/>
  <c r="I2" i="1" l="1"/>
  <c r="I33" i="1"/>
  <c r="I11" i="1"/>
  <c r="I22" i="1"/>
</calcChain>
</file>

<file path=xl/sharedStrings.xml><?xml version="1.0" encoding="utf-8"?>
<sst xmlns="http://schemas.openxmlformats.org/spreadsheetml/2006/main" count="174" uniqueCount="52">
  <si>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</si>
  <si>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</si>
  <si>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</si>
  <si>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</si>
  <si>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</si>
  <si>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</si>
  <si>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</si>
  <si>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</si>
  <si>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</si>
  <si>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</si>
  <si>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</si>
  <si>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</si>
  <si>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</si>
  <si>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</si>
  <si>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</si>
  <si>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</si>
  <si>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</si>
  <si>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</si>
  <si>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</si>
  <si>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</si>
  <si>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</t>
  </si>
  <si>
    <t>B</t>
  </si>
  <si>
    <t>C</t>
  </si>
  <si>
    <t>sec</t>
  </si>
  <si>
    <t>m</t>
  </si>
  <si>
    <t>o</t>
  </si>
  <si>
    <t>d</t>
  </si>
  <si>
    <t>line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</si>
  <si>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</si>
  <si>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</si>
  <si>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</si>
  <si>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</si>
  <si>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</si>
  <si>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</si>
  <si>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</si>
  <si>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</si>
  <si>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</si>
  <si>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</si>
  <si>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mode</t>
  </si>
  <si>
    <t>metro</t>
  </si>
  <si>
    <t>train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</si>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</sst>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D25F-6BC9-49F1-BA2A-ACBBEB8669CA}">
  <dimension ref="A1:P43"/>
  <sheetViews>
    <sheetView tabSelected="1" workbookViewId="0">
      <selection activeCell="N9" sqref="N9"/>
    </sheetView>
  </sheetViews>
  <sheetFormatPr defaultRowHeight="15" x14ac:dyDescent="0.25"/>
  <sheetData>
    <row r="1" spans="1:16" x14ac:dyDescent="0.25">
      <c r="A1" t="s">
        <v>25</v>
      </c>
      <c r="B1" t="s">
        <v>26</v>
      </c>
      <c r="C1" t="s">
        <v>27</v>
      </c>
      <c r="D1" t="s">
        <v>23</v>
      </c>
      <c r="E1" t="s">
        <v>24</v>
      </c>
      <c r="F1" t="s">
        <v>38</v>
      </c>
    </row>
    <row r="2" spans="1:16" x14ac:dyDescent="0.25">
      <c r="A2" t="s">
        <v>0</v>
      </c>
      <c r="B2" t="s">
        <v>1</v>
      </c>
      <c r="C2" t="s">
        <v>20</v>
      </c>
      <c r="D2">
        <v>95.199999999999989</v>
      </c>
      <c r="E2">
        <v>1350</v>
      </c>
      <c r="F2" t="s">
        <v>39</v>
      </c>
      <c r="G2">
        <f>SUM(D2:D10)</f>
        <v>788.2</v>
      </c>
      <c r="H2">
        <f>SUM(E2:E10)</f>
        <v>10250</v>
      </c>
      <c r="I2">
        <f>H2/1000*3600/G2</f>
        <v>46.815529053539706</v>
      </c>
      <c r="K2">
        <f>1.7*D2</f>
        <v>161.83999999999997</v>
      </c>
      <c r="M2">
        <v>32.770870337477795</v>
      </c>
      <c r="P2">
        <f>D2*0.7</f>
        <v>66.639999999999986</v>
      </c>
    </row>
    <row r="3" spans="1:16" x14ac:dyDescent="0.25">
      <c r="A3" t="s">
        <v>1</v>
      </c>
      <c r="B3" t="s">
        <v>2</v>
      </c>
      <c r="C3" t="s">
        <v>20</v>
      </c>
      <c r="D3">
        <v>73.5</v>
      </c>
      <c r="E3">
        <v>900</v>
      </c>
      <c r="F3" t="s">
        <v>39</v>
      </c>
      <c r="K3">
        <f>1.7*D3</f>
        <v>124.95</v>
      </c>
      <c r="P3">
        <f>D3*0.7</f>
        <v>51.449999999999996</v>
      </c>
    </row>
    <row r="4" spans="1:16" x14ac:dyDescent="0.25">
      <c r="A4" t="s">
        <v>2</v>
      </c>
      <c r="B4" t="s">
        <v>3</v>
      </c>
      <c r="C4" t="s">
        <v>20</v>
      </c>
      <c r="D4">
        <v>66.5</v>
      </c>
      <c r="E4">
        <v>800</v>
      </c>
      <c r="F4" t="s">
        <v>39</v>
      </c>
      <c r="K4">
        <f>1.7*D4</f>
        <v>113.05</v>
      </c>
      <c r="P4">
        <f>D4*0.7</f>
        <v>46.55</v>
      </c>
    </row>
    <row r="5" spans="1:16" x14ac:dyDescent="0.25">
      <c r="A5" t="s">
        <v>3</v>
      </c>
      <c r="B5" t="s">
        <v>4</v>
      </c>
      <c r="C5" t="s">
        <v>20</v>
      </c>
      <c r="D5">
        <v>70</v>
      </c>
      <c r="E5">
        <v>900</v>
      </c>
      <c r="F5" t="s">
        <v>39</v>
      </c>
      <c r="K5">
        <f>1.7*D5</f>
        <v>119</v>
      </c>
      <c r="P5">
        <f>D5*0.7</f>
        <v>49</v>
      </c>
    </row>
    <row r="6" spans="1:16" x14ac:dyDescent="0.25">
      <c r="A6" t="s">
        <v>4</v>
      </c>
      <c r="B6" t="s">
        <v>5</v>
      </c>
      <c r="C6" t="s">
        <v>20</v>
      </c>
      <c r="D6">
        <v>98</v>
      </c>
      <c r="E6">
        <v>1350</v>
      </c>
      <c r="F6" t="s">
        <v>39</v>
      </c>
      <c r="K6">
        <f>1.7*D6</f>
        <v>166.6</v>
      </c>
      <c r="P6">
        <f>D6*0.7</f>
        <v>68.599999999999994</v>
      </c>
    </row>
    <row r="7" spans="1:16" x14ac:dyDescent="0.25">
      <c r="A7" t="s">
        <v>5</v>
      </c>
      <c r="B7" t="s">
        <v>6</v>
      </c>
      <c r="C7" t="s">
        <v>20</v>
      </c>
      <c r="D7">
        <v>70</v>
      </c>
      <c r="E7">
        <v>900</v>
      </c>
      <c r="F7" t="s">
        <v>39</v>
      </c>
      <c r="K7">
        <f>1.7*D7</f>
        <v>119</v>
      </c>
      <c r="P7">
        <f>D7*0.7</f>
        <v>49</v>
      </c>
    </row>
    <row r="8" spans="1:16" x14ac:dyDescent="0.25">
      <c r="A8" t="s">
        <v>6</v>
      </c>
      <c r="B8" t="s">
        <v>7</v>
      </c>
      <c r="C8" t="s">
        <v>20</v>
      </c>
      <c r="D8">
        <v>80.5</v>
      </c>
      <c r="E8">
        <v>1125</v>
      </c>
      <c r="F8" t="s">
        <v>39</v>
      </c>
      <c r="K8">
        <f>1.7*D8</f>
        <v>136.85</v>
      </c>
      <c r="P8">
        <f>D8*0.7</f>
        <v>56.349999999999994</v>
      </c>
    </row>
    <row r="9" spans="1:16" x14ac:dyDescent="0.25">
      <c r="A9" t="s">
        <v>7</v>
      </c>
      <c r="B9" t="s">
        <v>8</v>
      </c>
      <c r="C9" t="s">
        <v>20</v>
      </c>
      <c r="D9">
        <v>105</v>
      </c>
      <c r="E9">
        <v>1350</v>
      </c>
      <c r="F9" t="s">
        <v>39</v>
      </c>
      <c r="K9">
        <f>1.7*D9</f>
        <v>178.5</v>
      </c>
      <c r="P9">
        <f>D9*0.7</f>
        <v>73.5</v>
      </c>
    </row>
    <row r="10" spans="1:16" x14ac:dyDescent="0.25">
      <c r="A10" t="s">
        <v>8</v>
      </c>
      <c r="B10" t="s">
        <v>9</v>
      </c>
      <c r="C10" t="s">
        <v>20</v>
      </c>
      <c r="D10">
        <v>129.5</v>
      </c>
      <c r="E10">
        <v>1575</v>
      </c>
      <c r="F10" t="s">
        <v>39</v>
      </c>
      <c r="K10">
        <f>1.7*D10</f>
        <v>220.15</v>
      </c>
      <c r="P10">
        <f>D10*0.7</f>
        <v>90.649999999999991</v>
      </c>
    </row>
    <row r="11" spans="1:16" x14ac:dyDescent="0.25">
      <c r="A11" t="s">
        <v>41</v>
      </c>
      <c r="B11" t="s">
        <v>42</v>
      </c>
      <c r="C11" t="s">
        <v>21</v>
      </c>
      <c r="D11">
        <v>120</v>
      </c>
      <c r="E11">
        <v>1100</v>
      </c>
      <c r="F11" t="s">
        <v>39</v>
      </c>
      <c r="G11">
        <f>SUM(D11:D21)</f>
        <v>1345</v>
      </c>
      <c r="H11">
        <f>SUM(E11:E21)</f>
        <v>12300</v>
      </c>
      <c r="I11">
        <f>H11/1000*3600/G11</f>
        <v>32.921933085501855</v>
      </c>
      <c r="K11">
        <f t="shared" ref="K11:K32" si="0">1.3*D11</f>
        <v>156</v>
      </c>
      <c r="M11">
        <v>32.921933085501855</v>
      </c>
    </row>
    <row r="12" spans="1:16" x14ac:dyDescent="0.25">
      <c r="A12" t="s">
        <v>42</v>
      </c>
      <c r="B12" t="s">
        <v>43</v>
      </c>
      <c r="C12" t="s">
        <v>21</v>
      </c>
      <c r="D12">
        <v>115</v>
      </c>
      <c r="E12">
        <v>1000</v>
      </c>
      <c r="F12" t="s">
        <v>39</v>
      </c>
      <c r="K12">
        <f t="shared" si="0"/>
        <v>149.5</v>
      </c>
    </row>
    <row r="13" spans="1:16" x14ac:dyDescent="0.25">
      <c r="A13" t="s">
        <v>43</v>
      </c>
      <c r="B13" t="s">
        <v>44</v>
      </c>
      <c r="C13" t="s">
        <v>21</v>
      </c>
      <c r="D13">
        <v>100</v>
      </c>
      <c r="E13">
        <v>900</v>
      </c>
      <c r="F13" t="s">
        <v>39</v>
      </c>
      <c r="K13">
        <f t="shared" si="0"/>
        <v>130</v>
      </c>
    </row>
    <row r="14" spans="1:16" x14ac:dyDescent="0.25">
      <c r="A14" t="s">
        <v>44</v>
      </c>
      <c r="B14" t="s">
        <v>45</v>
      </c>
      <c r="C14" t="s">
        <v>21</v>
      </c>
      <c r="D14">
        <v>110</v>
      </c>
      <c r="E14">
        <v>950</v>
      </c>
      <c r="F14" t="s">
        <v>39</v>
      </c>
      <c r="K14">
        <f t="shared" si="0"/>
        <v>143</v>
      </c>
    </row>
    <row r="15" spans="1:16" x14ac:dyDescent="0.25">
      <c r="A15" t="s">
        <v>45</v>
      </c>
      <c r="B15" t="s">
        <v>6</v>
      </c>
      <c r="C15" t="s">
        <v>21</v>
      </c>
      <c r="D15">
        <v>130</v>
      </c>
      <c r="E15">
        <v>1300</v>
      </c>
      <c r="F15" t="s">
        <v>39</v>
      </c>
      <c r="K15">
        <f t="shared" si="0"/>
        <v>169</v>
      </c>
    </row>
    <row r="16" spans="1:16" x14ac:dyDescent="0.25">
      <c r="A16" t="s">
        <v>6</v>
      </c>
      <c r="B16" t="s">
        <v>33</v>
      </c>
      <c r="C16" t="s">
        <v>21</v>
      </c>
      <c r="D16">
        <v>140</v>
      </c>
      <c r="E16">
        <v>1400</v>
      </c>
      <c r="F16" t="s">
        <v>39</v>
      </c>
      <c r="K16">
        <f t="shared" si="0"/>
        <v>182</v>
      </c>
    </row>
    <row r="17" spans="1:13" x14ac:dyDescent="0.25">
      <c r="A17" t="s">
        <v>33</v>
      </c>
      <c r="B17" t="s">
        <v>46</v>
      </c>
      <c r="C17" t="s">
        <v>21</v>
      </c>
      <c r="D17">
        <v>125</v>
      </c>
      <c r="E17">
        <v>1100</v>
      </c>
      <c r="F17" t="s">
        <v>39</v>
      </c>
      <c r="K17">
        <f t="shared" si="0"/>
        <v>162.5</v>
      </c>
    </row>
    <row r="18" spans="1:13" x14ac:dyDescent="0.25">
      <c r="A18" t="s">
        <v>46</v>
      </c>
      <c r="B18" t="s">
        <v>47</v>
      </c>
      <c r="C18" t="s">
        <v>21</v>
      </c>
      <c r="D18">
        <v>130</v>
      </c>
      <c r="E18">
        <v>1200</v>
      </c>
      <c r="F18" t="s">
        <v>39</v>
      </c>
      <c r="K18">
        <f t="shared" si="0"/>
        <v>169</v>
      </c>
    </row>
    <row r="19" spans="1:13" x14ac:dyDescent="0.25">
      <c r="A19" t="s">
        <v>47</v>
      </c>
      <c r="B19" t="s">
        <v>48</v>
      </c>
      <c r="C19" t="s">
        <v>21</v>
      </c>
      <c r="D19">
        <v>120</v>
      </c>
      <c r="E19">
        <v>1000</v>
      </c>
      <c r="F19" t="s">
        <v>39</v>
      </c>
      <c r="K19">
        <f t="shared" si="0"/>
        <v>156</v>
      </c>
    </row>
    <row r="20" spans="1:13" x14ac:dyDescent="0.25">
      <c r="A20" t="s">
        <v>48</v>
      </c>
      <c r="B20" t="s">
        <v>49</v>
      </c>
      <c r="C20" t="s">
        <v>21</v>
      </c>
      <c r="D20">
        <v>135</v>
      </c>
      <c r="E20">
        <v>1300</v>
      </c>
      <c r="F20" t="s">
        <v>39</v>
      </c>
      <c r="K20">
        <f t="shared" si="0"/>
        <v>175.5</v>
      </c>
    </row>
    <row r="21" spans="1:13" x14ac:dyDescent="0.25">
      <c r="A21" t="s">
        <v>49</v>
      </c>
      <c r="B21" t="s">
        <v>50</v>
      </c>
      <c r="C21" t="s">
        <v>21</v>
      </c>
      <c r="D21">
        <v>120</v>
      </c>
      <c r="E21">
        <v>1050</v>
      </c>
      <c r="F21" t="s">
        <v>39</v>
      </c>
      <c r="K21">
        <f t="shared" si="0"/>
        <v>156</v>
      </c>
    </row>
    <row r="22" spans="1:13" x14ac:dyDescent="0.25">
      <c r="A22" t="s">
        <v>10</v>
      </c>
      <c r="B22" t="s">
        <v>11</v>
      </c>
      <c r="C22" t="s">
        <v>22</v>
      </c>
      <c r="D22">
        <v>110.5</v>
      </c>
      <c r="E22">
        <v>1100</v>
      </c>
      <c r="F22" t="s">
        <v>39</v>
      </c>
      <c r="G22">
        <f>SUM(D22:D32)</f>
        <v>1231.95</v>
      </c>
      <c r="H22">
        <f>SUM(E22:E32)</f>
        <v>12875</v>
      </c>
      <c r="I22">
        <f>H22/1000*3600/G22</f>
        <v>37.623280165591133</v>
      </c>
      <c r="K22">
        <f t="shared" si="0"/>
        <v>143.65</v>
      </c>
      <c r="M22">
        <v>37.623280165591133</v>
      </c>
    </row>
    <row r="23" spans="1:13" x14ac:dyDescent="0.25">
      <c r="A23" t="s">
        <v>11</v>
      </c>
      <c r="B23" t="s">
        <v>12</v>
      </c>
      <c r="C23" t="s">
        <v>22</v>
      </c>
      <c r="D23">
        <v>110.5</v>
      </c>
      <c r="E23">
        <v>1150</v>
      </c>
      <c r="F23" t="s">
        <v>39</v>
      </c>
      <c r="K23">
        <f t="shared" si="0"/>
        <v>143.65</v>
      </c>
    </row>
    <row r="24" spans="1:13" x14ac:dyDescent="0.25">
      <c r="A24" t="s">
        <v>12</v>
      </c>
      <c r="B24" t="s">
        <v>13</v>
      </c>
      <c r="C24" t="s">
        <v>22</v>
      </c>
      <c r="D24">
        <v>120</v>
      </c>
      <c r="E24">
        <v>1200</v>
      </c>
      <c r="F24" t="s">
        <v>39</v>
      </c>
      <c r="K24">
        <f t="shared" si="0"/>
        <v>156</v>
      </c>
    </row>
    <row r="25" spans="1:13" x14ac:dyDescent="0.25">
      <c r="A25" t="s">
        <v>13</v>
      </c>
      <c r="B25" t="s">
        <v>14</v>
      </c>
      <c r="C25" t="s">
        <v>22</v>
      </c>
      <c r="D25">
        <v>110.5</v>
      </c>
      <c r="E25">
        <v>1200</v>
      </c>
      <c r="F25" t="s">
        <v>39</v>
      </c>
      <c r="K25">
        <f t="shared" si="0"/>
        <v>143.65</v>
      </c>
    </row>
    <row r="26" spans="1:13" x14ac:dyDescent="0.25">
      <c r="A26" t="s">
        <v>14</v>
      </c>
      <c r="B26" t="s">
        <v>49</v>
      </c>
      <c r="C26" t="s">
        <v>22</v>
      </c>
      <c r="D26">
        <v>99.45</v>
      </c>
      <c r="E26">
        <v>1050</v>
      </c>
      <c r="F26" t="s">
        <v>39</v>
      </c>
      <c r="K26">
        <f t="shared" si="0"/>
        <v>129.285</v>
      </c>
    </row>
    <row r="27" spans="1:13" x14ac:dyDescent="0.25">
      <c r="A27" t="s">
        <v>49</v>
      </c>
      <c r="B27" t="s">
        <v>15</v>
      </c>
      <c r="C27" t="s">
        <v>22</v>
      </c>
      <c r="D27">
        <v>100</v>
      </c>
      <c r="E27">
        <v>1000</v>
      </c>
      <c r="F27" t="s">
        <v>39</v>
      </c>
      <c r="K27">
        <f t="shared" si="0"/>
        <v>130</v>
      </c>
    </row>
    <row r="28" spans="1:13" x14ac:dyDescent="0.25">
      <c r="A28" t="s">
        <v>15</v>
      </c>
      <c r="B28" t="s">
        <v>16</v>
      </c>
      <c r="C28" t="s">
        <v>22</v>
      </c>
      <c r="D28">
        <v>121.55</v>
      </c>
      <c r="E28">
        <v>1050</v>
      </c>
      <c r="F28" t="s">
        <v>39</v>
      </c>
      <c r="K28">
        <f t="shared" si="0"/>
        <v>158.01500000000001</v>
      </c>
    </row>
    <row r="29" spans="1:13" x14ac:dyDescent="0.25">
      <c r="A29" t="s">
        <v>16</v>
      </c>
      <c r="B29" t="s">
        <v>17</v>
      </c>
      <c r="C29" t="s">
        <v>22</v>
      </c>
      <c r="D29">
        <v>150</v>
      </c>
      <c r="E29">
        <v>2000</v>
      </c>
      <c r="F29" t="s">
        <v>39</v>
      </c>
      <c r="K29">
        <f t="shared" si="0"/>
        <v>195</v>
      </c>
    </row>
    <row r="30" spans="1:13" x14ac:dyDescent="0.25">
      <c r="A30" t="s">
        <v>17</v>
      </c>
      <c r="B30" t="s">
        <v>1</v>
      </c>
      <c r="C30" t="s">
        <v>22</v>
      </c>
      <c r="D30">
        <v>99.45</v>
      </c>
      <c r="E30">
        <v>1100</v>
      </c>
      <c r="F30" t="s">
        <v>39</v>
      </c>
      <c r="K30">
        <f t="shared" si="0"/>
        <v>129.285</v>
      </c>
    </row>
    <row r="31" spans="1:13" x14ac:dyDescent="0.25">
      <c r="A31" t="s">
        <v>1</v>
      </c>
      <c r="B31" t="s">
        <v>18</v>
      </c>
      <c r="C31" t="s">
        <v>22</v>
      </c>
      <c r="D31">
        <v>110</v>
      </c>
      <c r="E31">
        <v>1200</v>
      </c>
      <c r="F31" t="s">
        <v>39</v>
      </c>
      <c r="K31">
        <f t="shared" si="0"/>
        <v>143</v>
      </c>
    </row>
    <row r="32" spans="1:13" x14ac:dyDescent="0.25">
      <c r="A32" t="s">
        <v>18</v>
      </c>
      <c r="B32" t="s">
        <v>19</v>
      </c>
      <c r="C32" t="s">
        <v>22</v>
      </c>
      <c r="D32">
        <v>100</v>
      </c>
      <c r="E32">
        <v>825</v>
      </c>
      <c r="F32" t="s">
        <v>39</v>
      </c>
      <c r="K32">
        <f t="shared" si="0"/>
        <v>130</v>
      </c>
    </row>
    <row r="33" spans="1:13" x14ac:dyDescent="0.25">
      <c r="A33" t="s">
        <v>28</v>
      </c>
      <c r="B33" t="s">
        <v>29</v>
      </c>
      <c r="C33" t="s">
        <v>51</v>
      </c>
      <c r="D33">
        <v>119.34000000000002</v>
      </c>
      <c r="E33">
        <v>1300</v>
      </c>
      <c r="F33" t="s">
        <v>40</v>
      </c>
      <c r="G33">
        <f>SUM(D33:D43)</f>
        <v>954.7199999999998</v>
      </c>
      <c r="H33">
        <f>SUM(E33:E43)</f>
        <v>17500</v>
      </c>
      <c r="I33">
        <f>H33/1000*3600/G33</f>
        <v>65.987933634992473</v>
      </c>
      <c r="K33">
        <f>0.8*D33</f>
        <v>95.472000000000023</v>
      </c>
      <c r="M33">
        <v>65.987933634992473</v>
      </c>
    </row>
    <row r="34" spans="1:13" x14ac:dyDescent="0.25">
      <c r="A34" t="s">
        <v>29</v>
      </c>
      <c r="B34" t="s">
        <v>30</v>
      </c>
      <c r="C34" t="s">
        <v>51</v>
      </c>
      <c r="D34">
        <v>95.472000000000008</v>
      </c>
      <c r="E34">
        <v>1800</v>
      </c>
      <c r="F34" t="s">
        <v>40</v>
      </c>
      <c r="K34">
        <f t="shared" ref="K34:K43" si="1">0.8*D34</f>
        <v>76.377600000000015</v>
      </c>
    </row>
    <row r="35" spans="1:13" x14ac:dyDescent="0.25">
      <c r="A35" t="s">
        <v>30</v>
      </c>
      <c r="B35" t="s">
        <v>31</v>
      </c>
      <c r="C35" t="s">
        <v>51</v>
      </c>
      <c r="D35">
        <v>95.472000000000008</v>
      </c>
      <c r="E35">
        <v>1500</v>
      </c>
      <c r="F35" t="s">
        <v>40</v>
      </c>
      <c r="K35">
        <f t="shared" si="1"/>
        <v>76.377600000000015</v>
      </c>
    </row>
    <row r="36" spans="1:13" x14ac:dyDescent="0.25">
      <c r="A36" t="s">
        <v>31</v>
      </c>
      <c r="B36" t="s">
        <v>8</v>
      </c>
      <c r="C36" t="s">
        <v>51</v>
      </c>
      <c r="D36">
        <v>71.604000000000013</v>
      </c>
      <c r="E36">
        <v>1600</v>
      </c>
      <c r="F36" t="s">
        <v>40</v>
      </c>
      <c r="K36">
        <f t="shared" si="1"/>
        <v>57.283200000000015</v>
      </c>
    </row>
    <row r="37" spans="1:13" x14ac:dyDescent="0.25">
      <c r="A37" t="s">
        <v>8</v>
      </c>
      <c r="B37" t="s">
        <v>32</v>
      </c>
      <c r="C37" t="s">
        <v>51</v>
      </c>
      <c r="D37">
        <v>79.56</v>
      </c>
      <c r="E37">
        <v>1400</v>
      </c>
      <c r="F37" t="s">
        <v>40</v>
      </c>
      <c r="K37">
        <f t="shared" si="1"/>
        <v>63.648000000000003</v>
      </c>
    </row>
    <row r="38" spans="1:13" x14ac:dyDescent="0.25">
      <c r="A38" t="s">
        <v>32</v>
      </c>
      <c r="B38" t="s">
        <v>33</v>
      </c>
      <c r="C38" t="s">
        <v>51</v>
      </c>
      <c r="D38">
        <v>71.604000000000013</v>
      </c>
      <c r="E38">
        <v>2200</v>
      </c>
      <c r="F38" t="s">
        <v>40</v>
      </c>
      <c r="K38">
        <f t="shared" si="1"/>
        <v>57.283200000000015</v>
      </c>
    </row>
    <row r="39" spans="1:13" x14ac:dyDescent="0.25">
      <c r="A39" t="s">
        <v>33</v>
      </c>
      <c r="B39" t="s">
        <v>34</v>
      </c>
      <c r="C39" t="s">
        <v>51</v>
      </c>
      <c r="D39">
        <v>87.516000000000005</v>
      </c>
      <c r="E39">
        <v>2000</v>
      </c>
      <c r="F39" t="s">
        <v>40</v>
      </c>
      <c r="K39">
        <f t="shared" si="1"/>
        <v>70.012800000000013</v>
      </c>
    </row>
    <row r="40" spans="1:13" x14ac:dyDescent="0.25">
      <c r="A40" t="s">
        <v>34</v>
      </c>
      <c r="B40" t="s">
        <v>35</v>
      </c>
      <c r="C40" t="s">
        <v>51</v>
      </c>
      <c r="D40">
        <v>79.56</v>
      </c>
      <c r="E40">
        <v>1600</v>
      </c>
      <c r="F40" t="s">
        <v>40</v>
      </c>
      <c r="K40">
        <f t="shared" si="1"/>
        <v>63.648000000000003</v>
      </c>
    </row>
    <row r="41" spans="1:13" x14ac:dyDescent="0.25">
      <c r="A41" t="s">
        <v>35</v>
      </c>
      <c r="B41" t="s">
        <v>3</v>
      </c>
      <c r="C41" t="s">
        <v>51</v>
      </c>
      <c r="D41">
        <v>79.56</v>
      </c>
      <c r="E41">
        <v>1200</v>
      </c>
      <c r="F41" t="s">
        <v>40</v>
      </c>
      <c r="K41">
        <f t="shared" si="1"/>
        <v>63.648000000000003</v>
      </c>
    </row>
    <row r="42" spans="1:13" x14ac:dyDescent="0.25">
      <c r="A42" t="s">
        <v>3</v>
      </c>
      <c r="B42" t="s">
        <v>36</v>
      </c>
      <c r="C42" t="s">
        <v>51</v>
      </c>
      <c r="D42">
        <v>95.472000000000008</v>
      </c>
      <c r="E42">
        <v>900</v>
      </c>
      <c r="F42" t="s">
        <v>40</v>
      </c>
      <c r="K42">
        <f t="shared" si="1"/>
        <v>76.377600000000015</v>
      </c>
    </row>
    <row r="43" spans="1:13" x14ac:dyDescent="0.25">
      <c r="A43" t="s">
        <v>36</v>
      </c>
      <c r="B43" t="s">
        <v>37</v>
      </c>
      <c r="C43" t="s">
        <v>51</v>
      </c>
      <c r="D43">
        <v>79.56</v>
      </c>
      <c r="E43">
        <v>2000</v>
      </c>
      <c r="F43" t="s">
        <v>40</v>
      </c>
      <c r="K43">
        <f t="shared" si="1"/>
        <v>63.648000000000003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ΝΤΑΛΑΣ ΑΘΑΝΑΣΙΟΣ</cp:lastModifiedBy>
  <dcterms:created xsi:type="dcterms:W3CDTF">2025-09-13T07:54:24Z</dcterms:created>
  <dcterms:modified xsi:type="dcterms:W3CDTF">2025-09-21T12:16:14Z</dcterms:modified>
</cp:coreProperties>
</file>